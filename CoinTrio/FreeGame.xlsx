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Users\buzzliu\Desktop\Buzz\Image\CoinTrio\Output\"/>
    </mc:Choice>
  </mc:AlternateContent>
  <xr:revisionPtr revIDLastSave="0" documentId="13_ncr:1_{E214E4D4-BF1A-4143-8EF8-323D3E4DC647}" xr6:coauthVersionLast="47" xr6:coauthVersionMax="47" xr10:uidLastSave="{00000000-0000-0000-0000-000000000000}"/>
  <bookViews>
    <workbookView xWindow="29970" yWindow="2925" windowWidth="21600" windowHeight="1123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J9" i="1"/>
  <c r="J8" i="1"/>
  <c r="J7" i="1"/>
  <c r="J6" i="1"/>
  <c r="J5" i="1"/>
  <c r="J4" i="1"/>
  <c r="J3" i="1"/>
  <c r="F10" i="1"/>
  <c r="G3" i="1"/>
  <c r="E9" i="1"/>
  <c r="E8" i="1"/>
  <c r="E7" i="1"/>
  <c r="E6" i="1"/>
  <c r="E5" i="1"/>
  <c r="E4" i="1"/>
  <c r="E3" i="1"/>
  <c r="D9" i="1"/>
  <c r="D8" i="1"/>
  <c r="D7" i="1"/>
  <c r="D6" i="1"/>
  <c r="D5" i="1"/>
  <c r="D4" i="1"/>
  <c r="D3" i="1"/>
  <c r="C11" i="1"/>
</calcChain>
</file>

<file path=xl/sharedStrings.xml><?xml version="1.0" encoding="utf-8"?>
<sst xmlns="http://schemas.openxmlformats.org/spreadsheetml/2006/main" count="10" uniqueCount="9">
  <si>
    <t>Unnamed: 0</t>
  </si>
  <si>
    <t>0</t>
  </si>
  <si>
    <t>平均倍率</t>
    <phoneticPr fontId="2" type="noConversion"/>
  </si>
  <si>
    <t>週期</t>
    <phoneticPr fontId="2" type="noConversion"/>
  </si>
  <si>
    <t>Hit Rate</t>
    <phoneticPr fontId="2" type="noConversion"/>
  </si>
  <si>
    <t>RTP</t>
    <phoneticPr fontId="2" type="noConversion"/>
  </si>
  <si>
    <t>預計週期</t>
    <phoneticPr fontId="2" type="noConversion"/>
  </si>
  <si>
    <t>預計HitRate</t>
    <phoneticPr fontId="2" type="noConversion"/>
  </si>
  <si>
    <t>預計倍率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</si>
</sst>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workbookViewId="0">
      <selection activeCell="K8" sqref="K8"/>
    </sheetView>
  </sheetViews>
  <sheetFormatPr defaultRowHeight="15.75" x14ac:dyDescent="0.25"/>
  <cols>
    <col min="1" max="1" width="2.85546875" bestFit="1" customWidth="1"/>
    <col min="2" max="2" width="13.28515625" bestFit="1" customWidth="1"/>
    <col min="3" max="7" width="13" bestFit="1" customWidth="1"/>
    <col min="9" max="9" width="10.28515625" bestFit="1" customWidth="1"/>
    <col min="10" max="10" width="13" bestFit="1" customWidth="1"/>
  </cols>
  <sheetData>
    <row r="1" spans="1:12" x14ac:dyDescent="0.25">
      <c r="B1" s="1" t="s">
        <v>0</v>
      </c>
      <c r="C1" s="1" t="s">
        <v>1</v>
      </c>
    </row>
    <row r="2" spans="1:12" x14ac:dyDescent="0.25">
      <c r="A2" s="1">
        <v>0</v>
      </c>
      <c r="B2">
        <v>0</v>
      </c>
      <c r="C2">
        <v>0</v>
      </c>
      <c r="D2" t="s">
        <v>4</v>
      </c>
      <c r="E2" t="s">
        <v>3</v>
      </c>
      <c r="F2" t="s">
        <v>2</v>
      </c>
      <c r="G2" t="s">
        <v>5</v>
      </c>
      <c r="I2" t="s">
        <v>6</v>
      </c>
      <c r="J2" t="s">
        <v>7</v>
      </c>
      <c r="K2" t="s">
        <v>8</v>
      </c>
      <c r="L2" t="s">
        <v>5</v>
      </c>
    </row>
    <row r="3" spans="1:12" x14ac:dyDescent="0.25">
      <c r="A3" s="1">
        <v>1</v>
      </c>
      <c r="B3">
        <v>30</v>
      </c>
      <c r="C3">
        <v>43</v>
      </c>
      <c r="D3">
        <f>C3/$C$10</f>
        <v>2.5872442839951866E-3</v>
      </c>
      <c r="E3">
        <f>1/D3</f>
        <v>386.51162790697674</v>
      </c>
      <c r="F3">
        <v>40</v>
      </c>
      <c r="G3">
        <f>SUMPRODUCT(D3:D9,F3:F9)</f>
        <v>0.60980746089049342</v>
      </c>
      <c r="I3">
        <v>350</v>
      </c>
      <c r="J3">
        <f>1/I3</f>
        <v>2.8571428571428571E-3</v>
      </c>
      <c r="K3">
        <v>40</v>
      </c>
      <c r="L3">
        <f>SUMPRODUCT(J3:J9,K3:K9)</f>
        <v>0.60595238095238091</v>
      </c>
    </row>
    <row r="4" spans="1:12" x14ac:dyDescent="0.25">
      <c r="A4" s="1">
        <v>2</v>
      </c>
      <c r="B4">
        <v>60</v>
      </c>
      <c r="C4">
        <v>59</v>
      </c>
      <c r="D4">
        <f t="shared" ref="D4:D9" si="0">C4/$C$10</f>
        <v>3.5499398315282792E-3</v>
      </c>
      <c r="E4">
        <f t="shared" ref="E4:E9" si="1">1/D4</f>
        <v>281.69491525423729</v>
      </c>
      <c r="F4">
        <v>35</v>
      </c>
      <c r="I4">
        <v>300</v>
      </c>
      <c r="J4">
        <f t="shared" ref="J4:J9" si="2">1/I4</f>
        <v>3.3333333333333335E-3</v>
      </c>
      <c r="K4">
        <v>35</v>
      </c>
    </row>
    <row r="5" spans="1:12" x14ac:dyDescent="0.25">
      <c r="A5" s="1">
        <v>3</v>
      </c>
      <c r="B5">
        <v>90</v>
      </c>
      <c r="C5">
        <v>71</v>
      </c>
      <c r="D5">
        <f t="shared" si="0"/>
        <v>4.271961492178099E-3</v>
      </c>
      <c r="E5">
        <f t="shared" si="1"/>
        <v>234.08450704225351</v>
      </c>
      <c r="F5">
        <v>30</v>
      </c>
      <c r="I5">
        <v>250</v>
      </c>
      <c r="J5">
        <f t="shared" si="2"/>
        <v>4.0000000000000001E-3</v>
      </c>
      <c r="K5">
        <v>30</v>
      </c>
    </row>
    <row r="6" spans="1:12" x14ac:dyDescent="0.25">
      <c r="A6" s="1">
        <v>4</v>
      </c>
      <c r="B6">
        <v>120</v>
      </c>
      <c r="C6">
        <v>12</v>
      </c>
      <c r="D6">
        <f t="shared" si="0"/>
        <v>7.2202166064981946E-4</v>
      </c>
      <c r="E6">
        <f t="shared" si="1"/>
        <v>1385</v>
      </c>
      <c r="F6">
        <v>80</v>
      </c>
      <c r="I6">
        <v>1200</v>
      </c>
      <c r="J6">
        <f t="shared" si="2"/>
        <v>8.3333333333333339E-4</v>
      </c>
      <c r="K6">
        <v>80</v>
      </c>
    </row>
    <row r="7" spans="1:12" x14ac:dyDescent="0.25">
      <c r="A7" s="1">
        <v>5</v>
      </c>
      <c r="B7">
        <v>150</v>
      </c>
      <c r="C7">
        <v>10</v>
      </c>
      <c r="D7">
        <f t="shared" si="0"/>
        <v>6.0168471720818293E-4</v>
      </c>
      <c r="E7">
        <f t="shared" si="1"/>
        <v>1662</v>
      </c>
      <c r="F7">
        <v>100</v>
      </c>
      <c r="I7">
        <v>1500</v>
      </c>
      <c r="J7">
        <f t="shared" si="2"/>
        <v>6.6666666666666664E-4</v>
      </c>
      <c r="K7">
        <v>75</v>
      </c>
    </row>
    <row r="8" spans="1:12" x14ac:dyDescent="0.25">
      <c r="A8" s="1">
        <v>6</v>
      </c>
      <c r="B8">
        <v>180</v>
      </c>
      <c r="C8">
        <v>18</v>
      </c>
      <c r="D8">
        <f t="shared" si="0"/>
        <v>1.0830324909747292E-3</v>
      </c>
      <c r="E8">
        <f t="shared" si="1"/>
        <v>923.33333333333337</v>
      </c>
      <c r="F8">
        <v>70</v>
      </c>
      <c r="I8">
        <v>1200</v>
      </c>
      <c r="J8">
        <f t="shared" si="2"/>
        <v>8.3333333333333339E-4</v>
      </c>
      <c r="K8">
        <v>70</v>
      </c>
    </row>
    <row r="9" spans="1:12" x14ac:dyDescent="0.25">
      <c r="A9" s="1">
        <v>7</v>
      </c>
      <c r="B9">
        <v>210</v>
      </c>
      <c r="C9">
        <v>5</v>
      </c>
      <c r="D9">
        <f t="shared" si="0"/>
        <v>3.0084235860409147E-4</v>
      </c>
      <c r="E9">
        <f t="shared" si="1"/>
        <v>3324</v>
      </c>
      <c r="F9">
        <v>200</v>
      </c>
      <c r="I9">
        <v>1500</v>
      </c>
      <c r="J9">
        <f t="shared" si="2"/>
        <v>6.6666666666666664E-4</v>
      </c>
      <c r="K9">
        <v>120</v>
      </c>
    </row>
    <row r="10" spans="1:12" x14ac:dyDescent="0.25">
      <c r="C10">
        <v>16620</v>
      </c>
      <c r="F10">
        <f>SUM(D3:D9)*50</f>
        <v>0.65583634175691941</v>
      </c>
    </row>
    <row r="11" spans="1:12" x14ac:dyDescent="0.25">
      <c r="C11">
        <f>16620/SUM(C2:C9)</f>
        <v>76.238532110091739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劉書宏</cp:lastModifiedBy>
  <dcterms:created xsi:type="dcterms:W3CDTF">2024-01-22T03:08:30Z</dcterms:created>
  <dcterms:modified xsi:type="dcterms:W3CDTF">2024-01-26T02:47:20Z</dcterms:modified>
</cp:coreProperties>
</file>